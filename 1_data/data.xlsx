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rpan Acharya\OneDrive - HERD\Documents\HERD-tasks\tax_research\"/>
    </mc:Choice>
  </mc:AlternateContent>
  <xr:revisionPtr revIDLastSave="49" documentId="11_F25DC773A252ABDACC1048E6B119576E5ADE58EE" xr6:coauthVersionLast="36" xr6:coauthVersionMax="36" xr10:uidLastSave="{310C058B-CD65-498F-BC92-79DA7C55A7A1}"/>
  <bookViews>
    <workbookView xWindow="0" yWindow="0" windowWidth="22260" windowHeight="12650" activeTab="1" xr2:uid="{00000000-000D-0000-FFFF-FFFF00000000}"/>
  </bookViews>
  <sheets>
    <sheet name="Sheet1" sheetId="1" r:id="rId1"/>
    <sheet name="cons" sheetId="2" r:id="rId2"/>
    <sheet name="pop" sheetId="3" r:id="rId3"/>
    <sheet name="tem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2" i="1"/>
  <c r="B24" i="4" l="1"/>
  <c r="B23" i="4"/>
  <c r="N3" i="4"/>
  <c r="M3" i="4"/>
  <c r="L3" i="4"/>
</calcChain>
</file>

<file path=xl/sharedStrings.xml><?xml version="1.0" encoding="utf-8"?>
<sst xmlns="http://schemas.openxmlformats.org/spreadsheetml/2006/main" count="166" uniqueCount="78">
  <si>
    <t>Category</t>
  </si>
  <si>
    <t>Sales_Volume_Liters</t>
  </si>
  <si>
    <t>Price_Per_Liter</t>
  </si>
  <si>
    <t>Current_Tax_Rate</t>
  </si>
  <si>
    <t>Sugar_g_per_100ml</t>
  </si>
  <si>
    <t>Pass_Through_Rate</t>
  </si>
  <si>
    <t>Energy_kcal_per_100mL</t>
  </si>
  <si>
    <t>tax_eq_l</t>
  </si>
  <si>
    <t>tax_er_rate</t>
  </si>
  <si>
    <t>Carbonated_drinks</t>
  </si>
  <si>
    <t>Juice</t>
  </si>
  <si>
    <t>Milk_Sweetened</t>
  </si>
  <si>
    <t>Energy_drinks</t>
  </si>
  <si>
    <t>Age-Group</t>
  </si>
  <si>
    <t>Sex</t>
  </si>
  <si>
    <t>Carbonated_drinks_mL_day</t>
  </si>
  <si>
    <t>Juice_mL_day</t>
  </si>
  <si>
    <t>Milk_Sweetened_mL_day</t>
  </si>
  <si>
    <t>Energy_drinks_mL_day</t>
  </si>
  <si>
    <t>15-19</t>
  </si>
  <si>
    <t>Male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</si>
  <si>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</si>
  <si>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</si>
  <si>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</si>
  <si>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</si>
  <si>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</si>
  <si>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</si>
  <si>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</si>
  <si>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</si>
  <si>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</si>
  <si>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</si>
  <si>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Female</t>
  </si>
  <si>
    <t>Mean_BMI</t>
  </si>
  <si>
    <t>Mean_Height_m</t>
  </si>
  <si>
    <t>Population_Count</t>
  </si>
  <si>
    <t>total</t>
  </si>
  <si>
    <t>Age Group</t>
  </si>
  <si>
    <t>Number</t>
  </si>
  <si>
    <t>Male(%) Percent</t>
  </si>
  <si>
    <t>Male Number</t>
  </si>
  <si>
    <t>Female(%)</t>
  </si>
  <si>
    <t>Female Number</t>
  </si>
  <si>
    <t>Total (%)</t>
  </si>
  <si>
    <t>All Ages</t>
  </si>
  <si>
    <t>00-04 Yrs.</t>
  </si>
  <si>
    <t>05-09 Yrs.</t>
  </si>
  <si>
    <t>10-14 Yrs.</t>
  </si>
  <si>
    <t>15-19 Yrs.</t>
  </si>
  <si>
    <t>20-24 Yrs.</t>
  </si>
  <si>
    <t>25-29 Yrs.</t>
  </si>
  <si>
    <t>30-34 Yrs.</t>
  </si>
  <si>
    <t>35-39 Yrs.</t>
  </si>
  <si>
    <t>40-44 Yrs.</t>
  </si>
  <si>
    <t>45-49 Yrs.</t>
  </si>
  <si>
    <t>50-54 Yrs.</t>
  </si>
  <si>
    <t>55-59 Yrs.</t>
  </si>
  <si>
    <t>60-64 Yrs.</t>
  </si>
  <si>
    <t>65-69 Yrs.</t>
  </si>
  <si>
    <t>70-74 Yrs.</t>
  </si>
  <si>
    <t>75-79 Yrs.</t>
  </si>
  <si>
    <t>80-84 Yrs.</t>
  </si>
  <si>
    <t>85-89 Yrs.</t>
  </si>
  <si>
    <t>90-94 Yrs.</t>
  </si>
  <si>
    <t>95+ Yrs.</t>
  </si>
  <si>
    <t xml:space="preserve">soda </t>
  </si>
  <si>
    <t>juice</t>
  </si>
  <si>
    <t>milk</t>
  </si>
  <si>
    <t>Total_mean_consumption</t>
  </si>
  <si>
    <t>Age</t>
  </si>
  <si>
    <t>women_BMI</t>
  </si>
  <si>
    <t>women_height</t>
  </si>
  <si>
    <t>men_BMI</t>
  </si>
  <si>
    <t>men_height</t>
  </si>
  <si>
    <t>Total</t>
  </si>
  <si>
    <t>Indian Consumption (in l per year)</t>
  </si>
  <si>
    <t>Nepal's consumption (assuming Nepal has 20% less consumption</t>
  </si>
  <si>
    <t>Per day (in ml)</t>
  </si>
  <si>
    <t>Composition for each type of energy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</si>
</sst>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Fill="1" applyBorder="1"/>
    <xf numFmtId="0" fontId="1" fillId="0" borderId="0" xfId="0" applyFont="1"/>
    <xf numFmtId="3" fontId="0" fillId="0" borderId="0" xfId="0" applyNumberFormat="1"/>
    <xf numFmtId="6" fontId="0" fillId="0" borderId="0" xfId="0" applyNumberFormat="1"/>
    <xf numFmtId="16" fontId="0" fillId="0" borderId="0" xfId="0" applyNumberFormat="1"/>
    <xf numFmtId="0" fontId="0" fillId="0" borderId="0" xfId="0" applyAlignment="1">
      <alignment vertical="top"/>
    </xf>
    <xf numFmtId="0" fontId="4" fillId="0" borderId="2" xfId="0" applyFont="1" applyFill="1" applyBorder="1"/>
    <xf numFmtId="0" fontId="4" fillId="0" borderId="1" xfId="0" applyFont="1" applyFill="1" applyBorder="1"/>
    <xf numFmtId="0" fontId="4" fillId="0" borderId="3" xfId="0" applyFont="1" applyFill="1" applyBorder="1"/>
    <xf numFmtId="0" fontId="4" fillId="0" borderId="0" xfId="0" applyFont="1" applyFill="1" applyBorder="1"/>
    <xf numFmtId="0" fontId="4" fillId="0" borderId="4" xfId="0" applyFont="1" applyFill="1" applyBorder="1"/>
    <xf numFmtId="2" fontId="2" fillId="0" borderId="0" xfId="0" applyNumberFormat="1" applyFont="1" applyFill="1" applyBorder="1"/>
    <xf numFmtId="164" fontId="2" fillId="0" borderId="1" xfId="1" applyNumberFormat="1" applyFont="1" applyFill="1" applyBorder="1"/>
    <xf numFmtId="164" fontId="2" fillId="0" borderId="3" xfId="1" applyNumberFormat="1" applyFont="1" applyFill="1" applyBorder="1"/>
    <xf numFmtId="0" fontId="2" fillId="0" borderId="0" xfId="0" applyFont="1" applyBorder="1"/>
    <xf numFmtId="0" fontId="2" fillId="0" borderId="4" xfId="0" applyFont="1" applyBorder="1"/>
    <xf numFmtId="0" fontId="2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zoomScale="115" zoomScaleNormal="115" workbookViewId="0">
      <selection activeCell="I2" sqref="I2"/>
    </sheetView>
  </sheetViews>
  <sheetFormatPr defaultRowHeight="14.5" x14ac:dyDescent="0.35"/>
  <cols>
    <col min="1" max="1" width="21.1796875" bestFit="1" customWidth="1"/>
    <col min="2" max="2" width="18.81640625" bestFit="1" customWidth="1"/>
    <col min="3" max="3" width="13.90625" bestFit="1" customWidth="1"/>
    <col min="4" max="4" width="16.08984375" bestFit="1" customWidth="1"/>
    <col min="5" max="6" width="17.54296875" bestFit="1" customWidth="1"/>
    <col min="7" max="7" width="21.36328125" bestFit="1" customWidth="1"/>
  </cols>
  <sheetData>
    <row r="1" spans="1:11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 t="s">
        <v>9</v>
      </c>
      <c r="B2" s="13">
        <v>150034255.0632</v>
      </c>
      <c r="C2" s="10">
        <v>200</v>
      </c>
      <c r="D2" s="1">
        <v>0.13</v>
      </c>
      <c r="E2" s="1">
        <v>12.46</v>
      </c>
      <c r="F2" s="1">
        <v>1</v>
      </c>
      <c r="G2" s="1">
        <v>45.96</v>
      </c>
      <c r="H2" s="17">
        <v>25</v>
      </c>
      <c r="I2" s="7">
        <v>0.14280000000000001</v>
      </c>
      <c r="J2" s="1">
        <v>0.2</v>
      </c>
      <c r="K2">
        <f>(J2-I2)/J2</f>
        <v>0.28599999999999998</v>
      </c>
    </row>
    <row r="3" spans="1:11" x14ac:dyDescent="0.35">
      <c r="A3" t="s">
        <v>10</v>
      </c>
      <c r="B3" s="13">
        <v>69400029.808800012</v>
      </c>
      <c r="C3" s="10">
        <v>331.5</v>
      </c>
      <c r="D3" s="1">
        <v>0.1</v>
      </c>
      <c r="E3" s="1">
        <v>11.05</v>
      </c>
      <c r="F3" s="1">
        <v>1</v>
      </c>
      <c r="G3" s="1">
        <v>48.48</v>
      </c>
      <c r="H3" s="15">
        <v>13.5</v>
      </c>
      <c r="I3" s="8">
        <v>4.072398190045249E-2</v>
      </c>
      <c r="J3" s="1">
        <v>0.2</v>
      </c>
      <c r="K3">
        <f t="shared" ref="K3:K5" si="0">(J3-I3)/J3</f>
        <v>0.79638009049773761</v>
      </c>
    </row>
    <row r="4" spans="1:11" x14ac:dyDescent="0.35">
      <c r="A4" t="s">
        <v>11</v>
      </c>
      <c r="B4" s="13">
        <v>21523458.563999996</v>
      </c>
      <c r="C4" s="10">
        <v>432</v>
      </c>
      <c r="D4" s="1">
        <v>0.05</v>
      </c>
      <c r="E4" s="1">
        <v>12.08</v>
      </c>
      <c r="F4" s="1">
        <v>1</v>
      </c>
      <c r="G4" s="1">
        <v>82.92</v>
      </c>
      <c r="H4" s="15">
        <v>25</v>
      </c>
      <c r="I4" s="8">
        <v>4.6992481203007516E-2</v>
      </c>
      <c r="J4" s="1">
        <v>0.2</v>
      </c>
      <c r="K4">
        <f t="shared" si="0"/>
        <v>0.76503759398496241</v>
      </c>
    </row>
    <row r="5" spans="1:11" ht="15" thickBot="1" x14ac:dyDescent="0.4">
      <c r="A5" t="s">
        <v>12</v>
      </c>
      <c r="B5" s="14">
        <v>21523458.563999996</v>
      </c>
      <c r="C5" s="11">
        <v>348</v>
      </c>
      <c r="D5" s="1">
        <v>0.09</v>
      </c>
      <c r="E5" s="1">
        <v>12</v>
      </c>
      <c r="F5" s="1">
        <v>1</v>
      </c>
      <c r="G5" s="1">
        <v>70.73</v>
      </c>
      <c r="H5" s="16">
        <v>52</v>
      </c>
      <c r="I5" s="9">
        <v>0.14130434782608695</v>
      </c>
      <c r="J5" s="1">
        <v>0.2</v>
      </c>
      <c r="K5">
        <f t="shared" si="0"/>
        <v>0.2934782608695653</v>
      </c>
    </row>
    <row r="8" spans="1:11" x14ac:dyDescent="0.35">
      <c r="B8" s="1"/>
    </row>
    <row r="9" spans="1:11" x14ac:dyDescent="0.35">
      <c r="A9" s="2"/>
      <c r="B9" s="1"/>
      <c r="C9" s="3"/>
    </row>
    <row r="10" spans="1:11" x14ac:dyDescent="0.35">
      <c r="B10" s="1"/>
      <c r="C10" s="3"/>
    </row>
    <row r="11" spans="1:11" x14ac:dyDescent="0.35">
      <c r="B11" s="1"/>
      <c r="C11" s="3"/>
    </row>
    <row r="18" spans="5:6" x14ac:dyDescent="0.35">
      <c r="E18" s="4"/>
    </row>
    <row r="19" spans="5:6" x14ac:dyDescent="0.35">
      <c r="F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F5F8-5702-48BF-9594-4C6D84009A66}">
  <dimension ref="A1:F23"/>
  <sheetViews>
    <sheetView tabSelected="1" workbookViewId="0">
      <selection activeCell="D13" sqref="D13:D23"/>
    </sheetView>
  </sheetViews>
  <sheetFormatPr defaultRowHeight="14.5" x14ac:dyDescent="0.35"/>
  <cols>
    <col min="1" max="1" width="10.08984375" bestFit="1" customWidth="1"/>
    <col min="2" max="2" width="12.54296875" bestFit="1" customWidth="1"/>
    <col min="3" max="3" width="24.81640625" bestFit="1" customWidth="1"/>
    <col min="4" max="5" width="23" bestFit="1" customWidth="1"/>
    <col min="6" max="6" width="20.54296875" bestFit="1" customWidth="1"/>
  </cols>
  <sheetData>
    <row r="1" spans="1:6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5">
      <c r="A2" s="1" t="s">
        <v>19</v>
      </c>
      <c r="B2" s="1" t="s">
        <v>20</v>
      </c>
      <c r="C2" s="1">
        <v>8.1793502212098392</v>
      </c>
      <c r="D2" s="12">
        <v>3.64</v>
      </c>
      <c r="E2" s="1">
        <v>8.545888208713956</v>
      </c>
      <c r="F2" s="1">
        <v>4.1819208883783663</v>
      </c>
    </row>
    <row r="3" spans="1:6" x14ac:dyDescent="0.35">
      <c r="A3" s="1" t="s">
        <v>21</v>
      </c>
      <c r="B3" s="1" t="s">
        <v>20</v>
      </c>
      <c r="C3" s="1">
        <v>20.576058168194972</v>
      </c>
      <c r="D3" s="12">
        <v>3.64</v>
      </c>
      <c r="E3" s="1">
        <v>8.545888208713956</v>
      </c>
      <c r="F3" s="1">
        <v>4.1819208883783663</v>
      </c>
    </row>
    <row r="4" spans="1:6" x14ac:dyDescent="0.35">
      <c r="A4" s="1" t="s">
        <v>22</v>
      </c>
      <c r="B4" s="1" t="s">
        <v>20</v>
      </c>
      <c r="C4" s="1">
        <v>20.576058168194972</v>
      </c>
      <c r="D4" s="12">
        <v>3.64</v>
      </c>
      <c r="E4" s="1">
        <v>8.545888208713956</v>
      </c>
      <c r="F4" s="1">
        <v>60.358993407509672</v>
      </c>
    </row>
    <row r="5" spans="1:6" x14ac:dyDescent="0.35">
      <c r="A5" s="1" t="s">
        <v>23</v>
      </c>
      <c r="B5" s="1" t="s">
        <v>20</v>
      </c>
      <c r="C5" s="1">
        <v>20.576058168194972</v>
      </c>
      <c r="D5" s="1">
        <v>8.1793502212098392</v>
      </c>
      <c r="E5" s="1">
        <v>0.90352372892498034</v>
      </c>
      <c r="F5" s="1">
        <v>60.358993407509672</v>
      </c>
    </row>
    <row r="6" spans="1:6" x14ac:dyDescent="0.35">
      <c r="A6" s="1" t="s">
        <v>24</v>
      </c>
      <c r="B6" s="1" t="s">
        <v>20</v>
      </c>
      <c r="C6" s="1">
        <v>20.576058168194972</v>
      </c>
      <c r="D6" s="1">
        <v>8.1793502212098392</v>
      </c>
      <c r="E6" s="1">
        <v>0.90352372892498034</v>
      </c>
      <c r="F6" s="1">
        <v>60.358993407509672</v>
      </c>
    </row>
    <row r="7" spans="1:6" x14ac:dyDescent="0.35">
      <c r="A7" s="1" t="s">
        <v>25</v>
      </c>
      <c r="B7" s="1" t="s">
        <v>20</v>
      </c>
      <c r="C7" s="1">
        <v>20.576058168194972</v>
      </c>
      <c r="D7" s="1">
        <v>8.1793502212098392</v>
      </c>
      <c r="E7" s="1">
        <v>0.90352372892498034</v>
      </c>
      <c r="F7" s="1">
        <v>60.358993407509672</v>
      </c>
    </row>
    <row r="8" spans="1:6" x14ac:dyDescent="0.35">
      <c r="A8" s="1" t="s">
        <v>26</v>
      </c>
      <c r="B8" s="1" t="s">
        <v>20</v>
      </c>
      <c r="C8" s="1">
        <v>20.576058168194972</v>
      </c>
      <c r="D8" s="1">
        <v>8.1793502212098392</v>
      </c>
      <c r="E8" s="1">
        <v>0.90352372892498034</v>
      </c>
      <c r="F8" s="1">
        <v>4.1819208883783698</v>
      </c>
    </row>
    <row r="9" spans="1:6" x14ac:dyDescent="0.35">
      <c r="A9" s="1" t="s">
        <v>27</v>
      </c>
      <c r="B9" s="1" t="s">
        <v>20</v>
      </c>
      <c r="C9" s="1">
        <v>20.576058168194972</v>
      </c>
      <c r="D9" s="1">
        <v>8.1793502212098392</v>
      </c>
      <c r="E9" s="1">
        <v>0.90352372892498034</v>
      </c>
      <c r="F9" s="1">
        <v>4.1819208883783663</v>
      </c>
    </row>
    <row r="10" spans="1:6" x14ac:dyDescent="0.35">
      <c r="A10" s="1" t="s">
        <v>28</v>
      </c>
      <c r="B10" s="1" t="s">
        <v>20</v>
      </c>
      <c r="C10" s="1">
        <v>8.1793502212098392</v>
      </c>
      <c r="D10" s="1">
        <v>8.1793502212098392</v>
      </c>
      <c r="E10" s="1">
        <v>0.90352372892498034</v>
      </c>
      <c r="F10" s="1">
        <v>4.1819208883783663</v>
      </c>
    </row>
    <row r="11" spans="1:6" x14ac:dyDescent="0.35">
      <c r="A11" s="1" t="s">
        <v>29</v>
      </c>
      <c r="B11" s="1" t="s">
        <v>20</v>
      </c>
      <c r="C11" s="1">
        <v>8.1793502212098392</v>
      </c>
      <c r="D11" s="1">
        <v>8.1793502212098392</v>
      </c>
      <c r="E11" s="1">
        <v>0.90352372892498034</v>
      </c>
      <c r="F11" s="1">
        <v>4.1819208883783663</v>
      </c>
    </row>
    <row r="12" spans="1:6" x14ac:dyDescent="0.35">
      <c r="A12" s="1" t="s">
        <v>30</v>
      </c>
      <c r="B12" s="1" t="s">
        <v>20</v>
      </c>
      <c r="C12" s="1">
        <v>8.1793502212098392</v>
      </c>
      <c r="D12" s="1">
        <v>8.1793502212098392</v>
      </c>
      <c r="E12" s="1">
        <v>0.90352372892498034</v>
      </c>
      <c r="F12" s="1">
        <v>4.1819208883783663</v>
      </c>
    </row>
    <row r="13" spans="1:6" x14ac:dyDescent="0.35">
      <c r="A13" s="1" t="s">
        <v>19</v>
      </c>
      <c r="B13" s="1" t="s">
        <v>31</v>
      </c>
      <c r="C13" s="1">
        <v>8.1793502212098392</v>
      </c>
      <c r="D13" s="12">
        <v>3.64</v>
      </c>
      <c r="E13" s="1">
        <v>8.545888208713956</v>
      </c>
      <c r="F13" s="1">
        <v>4.1819208883783663</v>
      </c>
    </row>
    <row r="14" spans="1:6" x14ac:dyDescent="0.35">
      <c r="A14" s="1" t="s">
        <v>21</v>
      </c>
      <c r="B14" s="1" t="s">
        <v>31</v>
      </c>
      <c r="C14" s="1">
        <v>20.576058168194972</v>
      </c>
      <c r="D14" s="12">
        <v>3.64</v>
      </c>
      <c r="E14" s="1">
        <v>8.545888208713956</v>
      </c>
      <c r="F14" s="1">
        <v>4.1819208883783663</v>
      </c>
    </row>
    <row r="15" spans="1:6" x14ac:dyDescent="0.35">
      <c r="A15" s="1" t="s">
        <v>22</v>
      </c>
      <c r="B15" s="1" t="s">
        <v>31</v>
      </c>
      <c r="C15" s="1">
        <v>20.576058168194972</v>
      </c>
      <c r="D15" s="12">
        <v>3.64</v>
      </c>
      <c r="E15" s="1">
        <v>8.545888208713956</v>
      </c>
      <c r="F15" s="1">
        <v>60.358993407509672</v>
      </c>
    </row>
    <row r="16" spans="1:6" x14ac:dyDescent="0.35">
      <c r="A16" s="1" t="s">
        <v>23</v>
      </c>
      <c r="B16" s="1" t="s">
        <v>31</v>
      </c>
      <c r="C16" s="1">
        <v>20.576058168194972</v>
      </c>
      <c r="D16" s="1">
        <v>8.1793502212098392</v>
      </c>
      <c r="E16" s="1">
        <v>3.9035237289249798</v>
      </c>
      <c r="F16" s="1">
        <v>60.358993407509672</v>
      </c>
    </row>
    <row r="17" spans="1:6" x14ac:dyDescent="0.35">
      <c r="A17" s="1" t="s">
        <v>24</v>
      </c>
      <c r="B17" s="1" t="s">
        <v>31</v>
      </c>
      <c r="C17" s="1">
        <v>20.576058168194972</v>
      </c>
      <c r="D17" s="1">
        <v>8.1793502212098392</v>
      </c>
      <c r="E17" s="1">
        <v>3.9035237289249798</v>
      </c>
      <c r="F17" s="1">
        <v>60.358993407509672</v>
      </c>
    </row>
    <row r="18" spans="1:6" x14ac:dyDescent="0.35">
      <c r="A18" s="1" t="s">
        <v>25</v>
      </c>
      <c r="B18" s="1" t="s">
        <v>31</v>
      </c>
      <c r="C18" s="1">
        <v>20.576058168194972</v>
      </c>
      <c r="D18" s="1">
        <v>8.1793502212098392</v>
      </c>
      <c r="E18" s="1">
        <v>3.9035237289249798</v>
      </c>
      <c r="F18" s="1">
        <v>60.358993407509672</v>
      </c>
    </row>
    <row r="19" spans="1:6" x14ac:dyDescent="0.35">
      <c r="A19" s="1" t="s">
        <v>26</v>
      </c>
      <c r="B19" s="1" t="s">
        <v>31</v>
      </c>
      <c r="C19" s="1">
        <v>20.576058168194972</v>
      </c>
      <c r="D19" s="1">
        <v>8.1793502212098392</v>
      </c>
      <c r="E19" s="1">
        <v>3.9035237289249798</v>
      </c>
      <c r="F19" s="1">
        <v>4.1819208883783663</v>
      </c>
    </row>
    <row r="20" spans="1:6" x14ac:dyDescent="0.35">
      <c r="A20" s="1" t="s">
        <v>27</v>
      </c>
      <c r="B20" s="1" t="s">
        <v>31</v>
      </c>
      <c r="C20" s="1">
        <v>20.576058168194972</v>
      </c>
      <c r="D20" s="1">
        <v>8.1793502212098392</v>
      </c>
      <c r="E20" s="1">
        <v>3.9035237289249798</v>
      </c>
      <c r="F20" s="1">
        <v>4.1819208883783663</v>
      </c>
    </row>
    <row r="21" spans="1:6" x14ac:dyDescent="0.35">
      <c r="A21" s="1" t="s">
        <v>28</v>
      </c>
      <c r="B21" s="1" t="s">
        <v>31</v>
      </c>
      <c r="C21" s="1">
        <v>8.1793502212098392</v>
      </c>
      <c r="D21" s="1">
        <v>8.1793502212098392</v>
      </c>
      <c r="E21" s="1">
        <v>3.9035237289249798</v>
      </c>
      <c r="F21" s="1">
        <v>4.1819208883783663</v>
      </c>
    </row>
    <row r="22" spans="1:6" x14ac:dyDescent="0.35">
      <c r="A22" s="1" t="s">
        <v>29</v>
      </c>
      <c r="B22" s="1" t="s">
        <v>31</v>
      </c>
      <c r="C22" s="1">
        <v>8.1793502212098392</v>
      </c>
      <c r="D22" s="1">
        <v>8.1793502212098392</v>
      </c>
      <c r="E22" s="1">
        <v>3.9035237289249798</v>
      </c>
      <c r="F22" s="1">
        <v>4.1819208883783663</v>
      </c>
    </row>
    <row r="23" spans="1:6" x14ac:dyDescent="0.35">
      <c r="A23" s="1" t="s">
        <v>30</v>
      </c>
      <c r="B23" s="1" t="s">
        <v>31</v>
      </c>
      <c r="C23" s="1">
        <v>8.1793502212098392</v>
      </c>
      <c r="D23" s="1">
        <v>8.1793502212098392</v>
      </c>
      <c r="E23" s="1">
        <v>3.9035237289249798</v>
      </c>
      <c r="F23" s="1">
        <v>4.1819208883783663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B642-5B46-42DD-BED7-D347A0F6B55F}">
  <dimension ref="A1:F23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t="s">
        <v>13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5">
      <c r="A2" t="s">
        <v>19</v>
      </c>
      <c r="B2" t="s">
        <v>31</v>
      </c>
      <c r="C2">
        <v>20.440000000000001</v>
      </c>
      <c r="D2">
        <v>1.53</v>
      </c>
      <c r="E2">
        <v>1494523</v>
      </c>
      <c r="F2">
        <v>2966404</v>
      </c>
    </row>
    <row r="3" spans="1:6" x14ac:dyDescent="0.35">
      <c r="A3" t="s">
        <v>21</v>
      </c>
      <c r="B3" t="s">
        <v>31</v>
      </c>
      <c r="C3">
        <v>21.6</v>
      </c>
      <c r="D3">
        <v>1.52</v>
      </c>
      <c r="E3">
        <v>1301018</v>
      </c>
      <c r="F3">
        <v>2783060</v>
      </c>
    </row>
    <row r="4" spans="1:6" x14ac:dyDescent="0.35">
      <c r="A4" t="s">
        <v>22</v>
      </c>
      <c r="B4" t="s">
        <v>31</v>
      </c>
      <c r="C4">
        <v>22.97</v>
      </c>
      <c r="D4">
        <v>1.53</v>
      </c>
      <c r="E4">
        <v>1122242</v>
      </c>
      <c r="F4">
        <v>2459349</v>
      </c>
    </row>
    <row r="5" spans="1:6" x14ac:dyDescent="0.35">
      <c r="A5" t="s">
        <v>23</v>
      </c>
      <c r="B5" t="s">
        <v>31</v>
      </c>
      <c r="C5">
        <v>23.43</v>
      </c>
      <c r="D5">
        <v>1.52</v>
      </c>
      <c r="E5">
        <v>978976</v>
      </c>
      <c r="F5">
        <v>2147712</v>
      </c>
    </row>
    <row r="6" spans="1:6" x14ac:dyDescent="0.35">
      <c r="A6" t="s">
        <v>24</v>
      </c>
      <c r="B6" t="s">
        <v>31</v>
      </c>
      <c r="C6">
        <v>24.55</v>
      </c>
      <c r="D6">
        <v>1.52</v>
      </c>
      <c r="E6">
        <v>936931</v>
      </c>
      <c r="F6">
        <v>2041492</v>
      </c>
    </row>
    <row r="7" spans="1:6" x14ac:dyDescent="0.35">
      <c r="A7" t="s">
        <v>25</v>
      </c>
      <c r="B7" t="s">
        <v>31</v>
      </c>
      <c r="C7">
        <v>23.99</v>
      </c>
      <c r="D7">
        <v>1.52</v>
      </c>
      <c r="E7">
        <v>828493</v>
      </c>
      <c r="F7">
        <v>1747832</v>
      </c>
    </row>
    <row r="8" spans="1:6" x14ac:dyDescent="0.35">
      <c r="A8" t="s">
        <v>26</v>
      </c>
      <c r="B8" t="s">
        <v>31</v>
      </c>
      <c r="C8">
        <v>23.6</v>
      </c>
      <c r="D8">
        <v>1.52</v>
      </c>
      <c r="E8">
        <v>687525</v>
      </c>
      <c r="F8">
        <v>1436040</v>
      </c>
    </row>
    <row r="9" spans="1:6" x14ac:dyDescent="0.35">
      <c r="A9" t="s">
        <v>27</v>
      </c>
      <c r="B9" t="s">
        <v>31</v>
      </c>
      <c r="C9">
        <v>23.76</v>
      </c>
      <c r="D9">
        <v>1.5</v>
      </c>
      <c r="E9">
        <v>692494</v>
      </c>
      <c r="F9">
        <v>1413852</v>
      </c>
    </row>
    <row r="10" spans="1:6" x14ac:dyDescent="0.35">
      <c r="A10" t="s">
        <v>28</v>
      </c>
      <c r="B10" t="s">
        <v>31</v>
      </c>
      <c r="C10">
        <v>22.33</v>
      </c>
      <c r="D10">
        <v>1.5</v>
      </c>
      <c r="E10">
        <v>537558</v>
      </c>
      <c r="F10">
        <v>1075944</v>
      </c>
    </row>
    <row r="11" spans="1:6" x14ac:dyDescent="0.35">
      <c r="A11" t="s">
        <v>29</v>
      </c>
      <c r="B11" t="s">
        <v>31</v>
      </c>
      <c r="C11">
        <v>22.92</v>
      </c>
      <c r="D11">
        <v>1.49</v>
      </c>
      <c r="E11">
        <v>465962</v>
      </c>
      <c r="F11">
        <v>955604</v>
      </c>
    </row>
    <row r="12" spans="1:6" x14ac:dyDescent="0.35">
      <c r="A12" t="s">
        <v>30</v>
      </c>
      <c r="B12" t="s">
        <v>31</v>
      </c>
      <c r="C12">
        <v>21.3</v>
      </c>
      <c r="D12">
        <v>1.49</v>
      </c>
      <c r="E12">
        <v>379689</v>
      </c>
      <c r="F12">
        <v>771618</v>
      </c>
    </row>
    <row r="13" spans="1:6" x14ac:dyDescent="0.35">
      <c r="A13" t="s">
        <v>19</v>
      </c>
      <c r="B13" t="s">
        <v>20</v>
      </c>
      <c r="C13">
        <v>20.38</v>
      </c>
      <c r="D13">
        <v>1.61</v>
      </c>
      <c r="E13">
        <v>1471881</v>
      </c>
      <c r="F13">
        <v>2966404</v>
      </c>
    </row>
    <row r="14" spans="1:6" x14ac:dyDescent="0.35">
      <c r="A14" t="s">
        <v>21</v>
      </c>
      <c r="B14" t="s">
        <v>20</v>
      </c>
      <c r="C14">
        <v>21.5</v>
      </c>
      <c r="D14">
        <v>1.61</v>
      </c>
      <c r="E14">
        <v>1482042</v>
      </c>
      <c r="F14">
        <v>2783060</v>
      </c>
    </row>
    <row r="15" spans="1:6" x14ac:dyDescent="0.35">
      <c r="A15" t="s">
        <v>22</v>
      </c>
      <c r="B15" t="s">
        <v>20</v>
      </c>
      <c r="C15">
        <v>22.92</v>
      </c>
      <c r="D15">
        <v>1.62</v>
      </c>
      <c r="E15">
        <v>1337107</v>
      </c>
      <c r="F15">
        <v>2459349</v>
      </c>
    </row>
    <row r="16" spans="1:6" x14ac:dyDescent="0.35">
      <c r="A16" t="s">
        <v>23</v>
      </c>
      <c r="B16" t="s">
        <v>20</v>
      </c>
      <c r="C16">
        <v>23.44</v>
      </c>
      <c r="D16">
        <v>1.63</v>
      </c>
      <c r="E16">
        <v>1168736</v>
      </c>
      <c r="F16">
        <v>2147712</v>
      </c>
    </row>
    <row r="17" spans="1:6" x14ac:dyDescent="0.35">
      <c r="A17" t="s">
        <v>24</v>
      </c>
      <c r="B17" t="s">
        <v>20</v>
      </c>
      <c r="C17">
        <v>23.76</v>
      </c>
      <c r="D17">
        <v>1.62</v>
      </c>
      <c r="E17">
        <v>1104561</v>
      </c>
      <c r="F17">
        <v>2041492</v>
      </c>
    </row>
    <row r="18" spans="1:6" x14ac:dyDescent="0.35">
      <c r="A18" t="s">
        <v>25</v>
      </c>
      <c r="B18" t="s">
        <v>20</v>
      </c>
      <c r="C18">
        <v>23.73</v>
      </c>
      <c r="D18">
        <v>1.61</v>
      </c>
      <c r="E18">
        <v>919339</v>
      </c>
      <c r="F18">
        <v>1747832</v>
      </c>
    </row>
    <row r="19" spans="1:6" x14ac:dyDescent="0.35">
      <c r="A19" t="s">
        <v>26</v>
      </c>
      <c r="B19" t="s">
        <v>20</v>
      </c>
      <c r="C19">
        <v>23.78</v>
      </c>
      <c r="D19">
        <v>1.62</v>
      </c>
      <c r="E19">
        <v>748515</v>
      </c>
      <c r="F19">
        <v>1436040</v>
      </c>
    </row>
    <row r="20" spans="1:6" x14ac:dyDescent="0.35">
      <c r="A20" t="s">
        <v>27</v>
      </c>
      <c r="B20" t="s">
        <v>20</v>
      </c>
      <c r="C20">
        <v>23.09</v>
      </c>
      <c r="D20">
        <v>1.6</v>
      </c>
      <c r="E20">
        <v>721358</v>
      </c>
      <c r="F20">
        <v>1413852</v>
      </c>
    </row>
    <row r="21" spans="1:6" x14ac:dyDescent="0.35">
      <c r="A21" t="s">
        <v>28</v>
      </c>
      <c r="B21" t="s">
        <v>20</v>
      </c>
      <c r="C21">
        <v>22.83</v>
      </c>
      <c r="D21">
        <v>1.6</v>
      </c>
      <c r="E21">
        <v>538386</v>
      </c>
      <c r="F21">
        <v>1075944</v>
      </c>
    </row>
    <row r="22" spans="1:6" x14ac:dyDescent="0.35">
      <c r="A22" t="s">
        <v>29</v>
      </c>
      <c r="B22" t="s">
        <v>20</v>
      </c>
      <c r="C22">
        <v>22.57</v>
      </c>
      <c r="D22">
        <v>1.59</v>
      </c>
      <c r="E22">
        <v>489642</v>
      </c>
      <c r="F22">
        <v>955604</v>
      </c>
    </row>
    <row r="23" spans="1:6" x14ac:dyDescent="0.35">
      <c r="A23" t="s">
        <v>30</v>
      </c>
      <c r="B23" t="s">
        <v>20</v>
      </c>
      <c r="C23">
        <v>21.57</v>
      </c>
      <c r="D23">
        <v>1.58</v>
      </c>
      <c r="E23">
        <v>391929</v>
      </c>
      <c r="F23">
        <v>771618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D2DA-3735-481F-BF1C-952DC1364109}">
  <dimension ref="A2:P43"/>
  <sheetViews>
    <sheetView workbookViewId="0">
      <selection activeCell="A22" sqref="A22"/>
    </sheetView>
  </sheetViews>
  <sheetFormatPr defaultRowHeight="14.5" x14ac:dyDescent="0.35"/>
  <cols>
    <col min="1" max="1" width="55.6328125" bestFit="1" customWidth="1"/>
  </cols>
  <sheetData>
    <row r="2" spans="1:15" x14ac:dyDescent="0.35">
      <c r="L2" t="s">
        <v>64</v>
      </c>
      <c r="M2" t="s">
        <v>65</v>
      </c>
      <c r="N2" t="s">
        <v>66</v>
      </c>
      <c r="O2" t="s">
        <v>67</v>
      </c>
    </row>
    <row r="3" spans="1:15" x14ac:dyDescent="0.35">
      <c r="L3">
        <f>0.5*O3</f>
        <v>4.37</v>
      </c>
      <c r="M3">
        <f>0.3*O3</f>
        <v>2.6219999999999999</v>
      </c>
      <c r="N3">
        <f>0.2*O3</f>
        <v>1.7480000000000002</v>
      </c>
      <c r="O3">
        <v>8.74</v>
      </c>
    </row>
    <row r="4" spans="1:15" x14ac:dyDescent="0.35">
      <c r="A4" t="s">
        <v>68</v>
      </c>
      <c r="B4" t="s">
        <v>69</v>
      </c>
      <c r="C4" t="s">
        <v>70</v>
      </c>
      <c r="D4" t="s">
        <v>71</v>
      </c>
      <c r="E4" t="s">
        <v>72</v>
      </c>
    </row>
    <row r="5" spans="1:15" x14ac:dyDescent="0.35">
      <c r="A5" t="s">
        <v>19</v>
      </c>
      <c r="B5">
        <v>20.440000000000001</v>
      </c>
      <c r="C5">
        <v>1.53</v>
      </c>
      <c r="D5">
        <v>20.38</v>
      </c>
      <c r="E5">
        <v>1.61</v>
      </c>
    </row>
    <row r="6" spans="1:15" x14ac:dyDescent="0.35">
      <c r="A6" t="s">
        <v>21</v>
      </c>
      <c r="B6">
        <v>21.6</v>
      </c>
      <c r="C6">
        <v>1.52</v>
      </c>
      <c r="D6">
        <v>21.5</v>
      </c>
      <c r="E6">
        <v>1.61</v>
      </c>
    </row>
    <row r="7" spans="1:15" x14ac:dyDescent="0.35">
      <c r="A7" t="s">
        <v>22</v>
      </c>
      <c r="B7">
        <v>22.97</v>
      </c>
      <c r="C7">
        <v>1.53</v>
      </c>
      <c r="D7">
        <v>22.92</v>
      </c>
      <c r="E7">
        <v>1.62</v>
      </c>
    </row>
    <row r="8" spans="1:15" x14ac:dyDescent="0.35">
      <c r="A8" t="s">
        <v>23</v>
      </c>
      <c r="B8">
        <v>23.43</v>
      </c>
      <c r="C8">
        <v>1.52</v>
      </c>
      <c r="D8">
        <v>23.44</v>
      </c>
      <c r="E8">
        <v>1.63</v>
      </c>
    </row>
    <row r="9" spans="1:15" x14ac:dyDescent="0.35">
      <c r="A9" t="s">
        <v>24</v>
      </c>
      <c r="B9">
        <v>24.55</v>
      </c>
      <c r="C9">
        <v>1.52</v>
      </c>
      <c r="D9">
        <v>23.76</v>
      </c>
      <c r="E9">
        <v>1.62</v>
      </c>
    </row>
    <row r="10" spans="1:15" x14ac:dyDescent="0.35">
      <c r="A10" t="s">
        <v>25</v>
      </c>
      <c r="B10">
        <v>23.99</v>
      </c>
      <c r="C10">
        <v>1.52</v>
      </c>
      <c r="D10">
        <v>23.73</v>
      </c>
      <c r="E10">
        <v>1.61</v>
      </c>
    </row>
    <row r="11" spans="1:15" x14ac:dyDescent="0.35">
      <c r="A11" t="s">
        <v>26</v>
      </c>
      <c r="B11">
        <v>23.6</v>
      </c>
      <c r="C11">
        <v>1.52</v>
      </c>
      <c r="D11">
        <v>23.78</v>
      </c>
      <c r="E11">
        <v>1.62</v>
      </c>
    </row>
    <row r="12" spans="1:15" x14ac:dyDescent="0.35">
      <c r="A12" t="s">
        <v>27</v>
      </c>
      <c r="B12">
        <v>23.76</v>
      </c>
      <c r="C12">
        <v>1.5</v>
      </c>
      <c r="D12">
        <v>23.09</v>
      </c>
      <c r="E12">
        <v>1.6</v>
      </c>
    </row>
    <row r="13" spans="1:15" x14ac:dyDescent="0.35">
      <c r="A13" t="s">
        <v>28</v>
      </c>
      <c r="B13">
        <v>22.33</v>
      </c>
      <c r="C13">
        <v>1.5</v>
      </c>
      <c r="D13">
        <v>22.83</v>
      </c>
      <c r="E13">
        <v>1.6</v>
      </c>
    </row>
    <row r="14" spans="1:15" x14ac:dyDescent="0.35">
      <c r="A14" t="s">
        <v>29</v>
      </c>
      <c r="B14">
        <v>22.92</v>
      </c>
      <c r="C14">
        <v>1.49</v>
      </c>
      <c r="D14">
        <v>22.57</v>
      </c>
      <c r="E14">
        <v>1.59</v>
      </c>
    </row>
    <row r="15" spans="1:15" x14ac:dyDescent="0.35">
      <c r="A15" t="s">
        <v>30</v>
      </c>
      <c r="B15">
        <v>21.3</v>
      </c>
      <c r="C15">
        <v>1.49</v>
      </c>
      <c r="D15">
        <v>21.57</v>
      </c>
      <c r="E15">
        <v>1.58</v>
      </c>
    </row>
    <row r="16" spans="1:15" x14ac:dyDescent="0.35">
      <c r="A16" t="s">
        <v>73</v>
      </c>
      <c r="B16">
        <v>22.79</v>
      </c>
      <c r="C16">
        <v>1.52</v>
      </c>
      <c r="D16">
        <v>22.58</v>
      </c>
      <c r="E16">
        <v>1.61</v>
      </c>
    </row>
    <row r="22" spans="1:16" x14ac:dyDescent="0.35">
      <c r="A22" s="6" t="s">
        <v>74</v>
      </c>
      <c r="B22">
        <v>10.6</v>
      </c>
      <c r="J22" t="s">
        <v>36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</row>
    <row r="23" spans="1:16" x14ac:dyDescent="0.35">
      <c r="A23" t="s">
        <v>75</v>
      </c>
      <c r="B23">
        <f>B22*0.8</f>
        <v>8.48</v>
      </c>
      <c r="J23" t="s">
        <v>43</v>
      </c>
      <c r="K23">
        <v>29164578</v>
      </c>
      <c r="L23">
        <v>100</v>
      </c>
      <c r="M23">
        <v>14253551</v>
      </c>
      <c r="N23">
        <v>100</v>
      </c>
      <c r="O23">
        <v>14911027</v>
      </c>
      <c r="P23">
        <v>100</v>
      </c>
    </row>
    <row r="24" spans="1:16" x14ac:dyDescent="0.35">
      <c r="A24" t="s">
        <v>76</v>
      </c>
      <c r="B24">
        <f>(B23*1000)/365</f>
        <v>23.232876712328768</v>
      </c>
      <c r="J24" t="s">
        <v>44</v>
      </c>
      <c r="K24">
        <v>2439283</v>
      </c>
      <c r="L24">
        <v>8.36</v>
      </c>
      <c r="M24">
        <v>1290525</v>
      </c>
      <c r="N24">
        <v>9.0500000000000007</v>
      </c>
      <c r="O24">
        <v>1148758</v>
      </c>
      <c r="P24">
        <v>7.7</v>
      </c>
    </row>
    <row r="25" spans="1:16" x14ac:dyDescent="0.35">
      <c r="J25" t="s">
        <v>45</v>
      </c>
      <c r="K25">
        <v>2766427</v>
      </c>
      <c r="L25">
        <v>9.49</v>
      </c>
      <c r="M25">
        <v>1443405</v>
      </c>
      <c r="N25">
        <v>10.130000000000001</v>
      </c>
      <c r="O25">
        <v>1323022</v>
      </c>
      <c r="P25">
        <v>8.8699999999999992</v>
      </c>
    </row>
    <row r="26" spans="1:16" x14ac:dyDescent="0.35">
      <c r="A26" t="s">
        <v>77</v>
      </c>
      <c r="J26" t="s">
        <v>46</v>
      </c>
      <c r="K26">
        <v>2909865</v>
      </c>
      <c r="L26">
        <v>9.98</v>
      </c>
      <c r="M26">
        <v>1495954</v>
      </c>
      <c r="N26">
        <v>10.5</v>
      </c>
      <c r="O26">
        <v>1413911</v>
      </c>
      <c r="P26">
        <v>9.48</v>
      </c>
    </row>
    <row r="27" spans="1:16" x14ac:dyDescent="0.35">
      <c r="J27" t="s">
        <v>47</v>
      </c>
      <c r="K27">
        <v>2966404</v>
      </c>
      <c r="L27">
        <v>10.17</v>
      </c>
      <c r="M27">
        <v>1494523</v>
      </c>
      <c r="N27">
        <v>10.49</v>
      </c>
      <c r="O27">
        <v>1471881</v>
      </c>
      <c r="P27">
        <v>9.8699999999999992</v>
      </c>
    </row>
    <row r="28" spans="1:16" x14ac:dyDescent="0.35">
      <c r="J28" t="s">
        <v>48</v>
      </c>
      <c r="K28">
        <v>2783060</v>
      </c>
      <c r="L28">
        <v>9.5399999999999991</v>
      </c>
      <c r="M28">
        <v>1301018</v>
      </c>
      <c r="N28">
        <v>9.1300000000000008</v>
      </c>
      <c r="O28">
        <v>1482042</v>
      </c>
      <c r="P28">
        <v>9.94</v>
      </c>
    </row>
    <row r="29" spans="1:16" x14ac:dyDescent="0.35">
      <c r="J29" t="s">
        <v>49</v>
      </c>
      <c r="K29">
        <v>2459349</v>
      </c>
      <c r="L29">
        <v>8.43</v>
      </c>
      <c r="M29">
        <v>1122242</v>
      </c>
      <c r="N29">
        <v>7.87</v>
      </c>
      <c r="O29">
        <v>1337107</v>
      </c>
      <c r="P29">
        <v>8.9700000000000006</v>
      </c>
    </row>
    <row r="30" spans="1:16" x14ac:dyDescent="0.35">
      <c r="J30" t="s">
        <v>50</v>
      </c>
      <c r="K30">
        <v>2147712</v>
      </c>
      <c r="L30">
        <v>7.36</v>
      </c>
      <c r="M30">
        <v>978976</v>
      </c>
      <c r="N30">
        <v>6.87</v>
      </c>
      <c r="O30">
        <v>1168736</v>
      </c>
      <c r="P30">
        <v>7.84</v>
      </c>
    </row>
    <row r="31" spans="1:16" x14ac:dyDescent="0.35">
      <c r="J31" t="s">
        <v>51</v>
      </c>
      <c r="K31">
        <v>2041492</v>
      </c>
      <c r="L31">
        <v>7</v>
      </c>
      <c r="M31">
        <v>936931</v>
      </c>
      <c r="N31">
        <v>6.57</v>
      </c>
      <c r="O31">
        <v>1104561</v>
      </c>
      <c r="P31">
        <v>7.41</v>
      </c>
    </row>
    <row r="32" spans="1:16" x14ac:dyDescent="0.35">
      <c r="J32" t="s">
        <v>52</v>
      </c>
      <c r="K32">
        <v>1747832</v>
      </c>
      <c r="L32">
        <v>5.99</v>
      </c>
      <c r="M32">
        <v>828493</v>
      </c>
      <c r="N32">
        <v>5.81</v>
      </c>
      <c r="O32">
        <v>919339</v>
      </c>
      <c r="P32">
        <v>6.17</v>
      </c>
    </row>
    <row r="33" spans="10:16" x14ac:dyDescent="0.35">
      <c r="J33" t="s">
        <v>53</v>
      </c>
      <c r="K33">
        <v>1436040</v>
      </c>
      <c r="L33">
        <v>4.92</v>
      </c>
      <c r="M33">
        <v>687525</v>
      </c>
      <c r="N33">
        <v>4.82</v>
      </c>
      <c r="O33">
        <v>748515</v>
      </c>
      <c r="P33">
        <v>5.0199999999999996</v>
      </c>
    </row>
    <row r="34" spans="10:16" x14ac:dyDescent="0.35">
      <c r="J34" t="s">
        <v>54</v>
      </c>
      <c r="K34">
        <v>1413852</v>
      </c>
      <c r="L34">
        <v>4.8499999999999996</v>
      </c>
      <c r="M34">
        <v>692494</v>
      </c>
      <c r="N34">
        <v>4.8600000000000003</v>
      </c>
      <c r="O34">
        <v>721358</v>
      </c>
      <c r="P34">
        <v>4.84</v>
      </c>
    </row>
    <row r="35" spans="10:16" x14ac:dyDescent="0.35">
      <c r="J35" t="s">
        <v>55</v>
      </c>
      <c r="K35">
        <v>1075944</v>
      </c>
      <c r="L35">
        <v>3.69</v>
      </c>
      <c r="M35">
        <v>537558</v>
      </c>
      <c r="N35">
        <v>3.77</v>
      </c>
      <c r="O35">
        <v>538386</v>
      </c>
      <c r="P35">
        <v>3.61</v>
      </c>
    </row>
    <row r="36" spans="10:16" x14ac:dyDescent="0.35">
      <c r="J36" t="s">
        <v>56</v>
      </c>
      <c r="K36">
        <v>955604</v>
      </c>
      <c r="L36">
        <v>3.28</v>
      </c>
      <c r="M36">
        <v>465962</v>
      </c>
      <c r="N36">
        <v>3.27</v>
      </c>
      <c r="O36">
        <v>489642</v>
      </c>
      <c r="P36">
        <v>3.28</v>
      </c>
    </row>
    <row r="37" spans="10:16" x14ac:dyDescent="0.35">
      <c r="J37" t="s">
        <v>57</v>
      </c>
      <c r="K37">
        <v>771618</v>
      </c>
      <c r="L37">
        <v>2.65</v>
      </c>
      <c r="M37">
        <v>379689</v>
      </c>
      <c r="N37">
        <v>2.66</v>
      </c>
      <c r="O37">
        <v>391929</v>
      </c>
      <c r="P37">
        <v>2.63</v>
      </c>
    </row>
    <row r="38" spans="10:16" x14ac:dyDescent="0.35">
      <c r="J38" t="s">
        <v>58</v>
      </c>
      <c r="K38">
        <v>609370</v>
      </c>
      <c r="L38">
        <v>2.09</v>
      </c>
      <c r="M38">
        <v>292054</v>
      </c>
      <c r="N38">
        <v>2.0499999999999998</v>
      </c>
      <c r="O38">
        <v>317316</v>
      </c>
      <c r="P38">
        <v>2.13</v>
      </c>
    </row>
    <row r="39" spans="10:16" x14ac:dyDescent="0.35">
      <c r="J39" t="s">
        <v>59</v>
      </c>
      <c r="K39">
        <v>353203</v>
      </c>
      <c r="L39">
        <v>1.21</v>
      </c>
      <c r="M39">
        <v>170998</v>
      </c>
      <c r="N39">
        <v>1.2</v>
      </c>
      <c r="O39">
        <v>182205</v>
      </c>
      <c r="P39">
        <v>1.22</v>
      </c>
    </row>
    <row r="40" spans="10:16" x14ac:dyDescent="0.35">
      <c r="J40" t="s">
        <v>60</v>
      </c>
      <c r="K40">
        <v>161556</v>
      </c>
      <c r="L40">
        <v>0.55000000000000004</v>
      </c>
      <c r="M40">
        <v>78315</v>
      </c>
      <c r="N40">
        <v>0.55000000000000004</v>
      </c>
      <c r="O40">
        <v>83241</v>
      </c>
      <c r="P40">
        <v>0.56000000000000005</v>
      </c>
    </row>
    <row r="41" spans="10:16" x14ac:dyDescent="0.35">
      <c r="J41" t="s">
        <v>61</v>
      </c>
      <c r="K41">
        <v>78327</v>
      </c>
      <c r="L41">
        <v>0.27</v>
      </c>
      <c r="M41">
        <v>36888</v>
      </c>
      <c r="N41">
        <v>0.26</v>
      </c>
      <c r="O41">
        <v>41439</v>
      </c>
      <c r="P41">
        <v>0.28000000000000003</v>
      </c>
    </row>
    <row r="42" spans="10:16" x14ac:dyDescent="0.35">
      <c r="J42" t="s">
        <v>62</v>
      </c>
      <c r="K42">
        <v>30406</v>
      </c>
      <c r="L42">
        <v>0.1</v>
      </c>
      <c r="M42">
        <v>13191</v>
      </c>
      <c r="N42">
        <v>0.09</v>
      </c>
      <c r="O42">
        <v>17215</v>
      </c>
      <c r="P42">
        <v>0.12</v>
      </c>
    </row>
    <row r="43" spans="10:16" x14ac:dyDescent="0.35">
      <c r="J43" t="s">
        <v>63</v>
      </c>
      <c r="K43">
        <v>17234</v>
      </c>
      <c r="L43">
        <v>0.06</v>
      </c>
      <c r="M43">
        <v>6810</v>
      </c>
      <c r="N43">
        <v>0.05</v>
      </c>
      <c r="O43">
        <v>10424</v>
      </c>
      <c r="P43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cons</vt:lpstr>
      <vt:lpstr>pop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Acharya</dc:creator>
  <cp:lastModifiedBy>Arpan</cp:lastModifiedBy>
  <dcterms:created xsi:type="dcterms:W3CDTF">2015-06-05T18:17:20Z</dcterms:created>
  <dcterms:modified xsi:type="dcterms:W3CDTF">2026-03-17T16:45:57Z</dcterms:modified>
</cp:coreProperties>
</file>